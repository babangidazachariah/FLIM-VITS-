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20490" windowHeight="7530" activeTab="3"/>
  </bookViews>
  <sheets>
    <sheet name="Sheet1" sheetId="1" r:id="rId1"/>
    <sheet name="Sheet2" sheetId="2" r:id="rId2"/>
    <sheet name="Sheet3" sheetId="3" r:id="rId3"/>
    <sheet name="FinalResult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4" l="1"/>
  <c r="P21" i="4"/>
  <c r="P22" i="4"/>
  <c r="P23" i="4"/>
  <c r="P24" i="4"/>
  <c r="P25" i="4"/>
  <c r="P26" i="4"/>
  <c r="P27" i="4"/>
  <c r="P28" i="4"/>
  <c r="P19" i="4"/>
  <c r="O29" i="4"/>
  <c r="P29" i="4" s="1"/>
  <c r="N29" i="4"/>
  <c r="K20" i="4"/>
  <c r="K21" i="4"/>
  <c r="K22" i="4"/>
  <c r="K23" i="4"/>
  <c r="K24" i="4"/>
  <c r="K25" i="4"/>
  <c r="K26" i="4"/>
  <c r="K27" i="4"/>
  <c r="K28" i="4"/>
  <c r="K29" i="4"/>
  <c r="K19" i="4"/>
  <c r="J29" i="4"/>
  <c r="I29" i="4"/>
  <c r="F20" i="4"/>
  <c r="F21" i="4"/>
  <c r="F22" i="4"/>
  <c r="F23" i="4"/>
  <c r="F24" i="4"/>
  <c r="F25" i="4"/>
  <c r="F26" i="4"/>
  <c r="F27" i="4"/>
  <c r="F28" i="4"/>
  <c r="F29" i="4"/>
  <c r="F19" i="4"/>
  <c r="E29" i="4"/>
  <c r="D29" i="4"/>
  <c r="P5" i="4" l="1"/>
  <c r="P6" i="4"/>
  <c r="P7" i="4"/>
  <c r="P8" i="4"/>
  <c r="P9" i="4"/>
  <c r="P10" i="4"/>
  <c r="P11" i="4"/>
  <c r="P12" i="4"/>
  <c r="P13" i="4"/>
  <c r="P14" i="4"/>
  <c r="P4" i="4"/>
  <c r="M5" i="4"/>
  <c r="M6" i="4"/>
  <c r="M7" i="4"/>
  <c r="M8" i="4"/>
  <c r="M9" i="4"/>
  <c r="M10" i="4"/>
  <c r="M11" i="4"/>
  <c r="M12" i="4"/>
  <c r="M13" i="4"/>
  <c r="M14" i="4"/>
  <c r="M4" i="4"/>
  <c r="K5" i="4"/>
  <c r="K6" i="4"/>
  <c r="K7" i="4"/>
  <c r="K8" i="4"/>
  <c r="K9" i="4"/>
  <c r="K10" i="4"/>
  <c r="K11" i="4"/>
  <c r="K12" i="4"/>
  <c r="K13" i="4"/>
  <c r="K14" i="4"/>
  <c r="K4" i="4"/>
  <c r="O14" i="4"/>
  <c r="L14" i="4"/>
  <c r="J14" i="4"/>
  <c r="G14" i="4"/>
  <c r="E14" i="4"/>
  <c r="C14" i="4"/>
  <c r="I12" i="2" l="1"/>
  <c r="K12" i="2"/>
  <c r="L14" i="2"/>
  <c r="M14" i="2" s="1"/>
  <c r="M5" i="2"/>
  <c r="M6" i="2"/>
  <c r="M7" i="2"/>
  <c r="M8" i="2"/>
  <c r="M9" i="2"/>
  <c r="M10" i="2"/>
  <c r="M11" i="2"/>
  <c r="M12" i="2"/>
  <c r="M13" i="2"/>
  <c r="M4" i="2"/>
  <c r="T5" i="2"/>
  <c r="T6" i="2"/>
  <c r="T7" i="2"/>
  <c r="T8" i="2"/>
  <c r="T9" i="2"/>
  <c r="T10" i="2"/>
  <c r="T11" i="2"/>
  <c r="T12" i="2"/>
  <c r="T13" i="2"/>
  <c r="T14" i="2"/>
  <c r="T4" i="2"/>
  <c r="R12" i="2"/>
  <c r="P12" i="2"/>
  <c r="S14" i="2"/>
  <c r="F14" i="2"/>
  <c r="R11" i="2"/>
  <c r="P11" i="2"/>
  <c r="K11" i="2"/>
  <c r="I11" i="2"/>
  <c r="P12" i="3"/>
  <c r="M12" i="3"/>
  <c r="K12" i="3"/>
  <c r="P11" i="3"/>
  <c r="M11" i="3"/>
  <c r="K11" i="3"/>
  <c r="G14" i="3"/>
  <c r="O14" i="3"/>
  <c r="P5" i="3"/>
  <c r="P6" i="3"/>
  <c r="P7" i="3"/>
  <c r="P8" i="3"/>
  <c r="P9" i="3"/>
  <c r="P10" i="3"/>
  <c r="P13" i="3"/>
  <c r="P4" i="3"/>
  <c r="L14" i="3"/>
  <c r="J14" i="3"/>
  <c r="E14" i="3"/>
  <c r="C14" i="3"/>
  <c r="M13" i="3"/>
  <c r="K13" i="3"/>
  <c r="M10" i="3"/>
  <c r="K10" i="3"/>
  <c r="M9" i="3"/>
  <c r="K9" i="3"/>
  <c r="M8" i="3"/>
  <c r="K8" i="3"/>
  <c r="M7" i="3"/>
  <c r="K7" i="3"/>
  <c r="M6" i="3"/>
  <c r="K6" i="3"/>
  <c r="M5" i="3"/>
  <c r="K5" i="3"/>
  <c r="M4" i="3"/>
  <c r="K4" i="3"/>
  <c r="Q14" i="2"/>
  <c r="O14" i="2"/>
  <c r="J14" i="2"/>
  <c r="H14" i="2"/>
  <c r="D14" i="2"/>
  <c r="B14" i="2"/>
  <c r="R13" i="2"/>
  <c r="P13" i="2"/>
  <c r="K13" i="2"/>
  <c r="I13" i="2"/>
  <c r="R10" i="2"/>
  <c r="P10" i="2"/>
  <c r="K10" i="2"/>
  <c r="I10" i="2"/>
  <c r="R9" i="2"/>
  <c r="P9" i="2"/>
  <c r="K9" i="2"/>
  <c r="I9" i="2"/>
  <c r="R8" i="2"/>
  <c r="P8" i="2"/>
  <c r="K8" i="2"/>
  <c r="I8" i="2"/>
  <c r="R7" i="2"/>
  <c r="P7" i="2"/>
  <c r="K7" i="2"/>
  <c r="I7" i="2"/>
  <c r="R6" i="2"/>
  <c r="P6" i="2"/>
  <c r="K6" i="2"/>
  <c r="I6" i="2"/>
  <c r="R5" i="2"/>
  <c r="P5" i="2"/>
  <c r="K5" i="2"/>
  <c r="I5" i="2"/>
  <c r="R4" i="2"/>
  <c r="P4" i="2"/>
  <c r="K4" i="2"/>
  <c r="I4" i="2"/>
  <c r="I21" i="1"/>
  <c r="K21" i="1"/>
  <c r="N21" i="1"/>
  <c r="P21" i="1"/>
  <c r="O21" i="1"/>
  <c r="M21" i="1"/>
  <c r="J21" i="1"/>
  <c r="H21" i="1"/>
  <c r="E21" i="1"/>
  <c r="C21" i="1"/>
  <c r="P20" i="1"/>
  <c r="N20" i="1"/>
  <c r="K20" i="1"/>
  <c r="I20" i="1"/>
  <c r="P14" i="1"/>
  <c r="P15" i="1"/>
  <c r="P16" i="1"/>
  <c r="P17" i="1"/>
  <c r="P18" i="1"/>
  <c r="P19" i="1"/>
  <c r="P13" i="1"/>
  <c r="N14" i="1"/>
  <c r="N15" i="1"/>
  <c r="N16" i="1"/>
  <c r="N17" i="1"/>
  <c r="N18" i="1"/>
  <c r="N19" i="1"/>
  <c r="N13" i="1"/>
  <c r="I19" i="1"/>
  <c r="K14" i="1"/>
  <c r="K15" i="1"/>
  <c r="K16" i="1"/>
  <c r="K17" i="1"/>
  <c r="K18" i="1"/>
  <c r="K19" i="1"/>
  <c r="K13" i="1"/>
  <c r="I14" i="1"/>
  <c r="I15" i="1"/>
  <c r="I16" i="1"/>
  <c r="I17" i="1"/>
  <c r="I18" i="1"/>
  <c r="I13" i="1"/>
  <c r="K14" i="3" l="1"/>
  <c r="P14" i="3"/>
  <c r="M14" i="3"/>
  <c r="R14" i="2"/>
  <c r="P14" i="2"/>
  <c r="I14" i="2"/>
  <c r="K14" i="2"/>
</calcChain>
</file>

<file path=xl/sharedStrings.xml><?xml version="1.0" encoding="utf-8"?>
<sst xmlns="http://schemas.openxmlformats.org/spreadsheetml/2006/main" count="67" uniqueCount="17">
  <si>
    <t xml:space="preserve">Priority </t>
  </si>
  <si>
    <t>Non-Priority</t>
  </si>
  <si>
    <t>All</t>
  </si>
  <si>
    <t>Throughput</t>
  </si>
  <si>
    <t>TrafficPreemption</t>
  </si>
  <si>
    <t>MultiIntersectionTrafficLightsController</t>
  </si>
  <si>
    <t>MultiIntersectionTrafficLightsControllerAlgorithm</t>
  </si>
  <si>
    <t>Priority Throughput</t>
  </si>
  <si>
    <t>Thorughput</t>
  </si>
  <si>
    <t xml:space="preserve">I2IP-HVP Delay(s) </t>
  </si>
  <si>
    <t xml:space="preserve">TP-HPV Delay(s) </t>
  </si>
  <si>
    <t>Average</t>
  </si>
  <si>
    <t>% Reduction</t>
  </si>
  <si>
    <t>Flow Rates</t>
  </si>
  <si>
    <t>% Increase</t>
  </si>
  <si>
    <t>TP-Throughput</t>
  </si>
  <si>
    <t>I2IP-Throughput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</si>
</sst>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1"/>
  <sheetViews>
    <sheetView workbookViewId="0">
      <selection activeCell="L4" sqref="L4:L11"/>
    </sheetView>
  </sheetViews>
  <sheetFormatPr defaultRowHeight="14.25"/>
  <cols>
    <col min="4" max="4" width="10.625" customWidth="1"/>
    <col min="5" max="5" width="10.5" customWidth="1"/>
    <col min="9" max="9" width="11.625" customWidth="1"/>
    <col min="13" max="14" width="11.25" customWidth="1"/>
    <col min="17" max="17" width="10.625" customWidth="1"/>
  </cols>
  <sheetData>
    <row r="2" spans="2:17">
      <c r="C2" s="3" t="s">
        <v>4</v>
      </c>
      <c r="D2" s="3"/>
      <c r="E2" s="3"/>
      <c r="F2" s="3"/>
      <c r="G2" s="3"/>
      <c r="H2" s="3" t="s">
        <v>5</v>
      </c>
      <c r="I2" s="3"/>
      <c r="J2" s="3"/>
      <c r="K2" s="3"/>
      <c r="L2" s="3"/>
      <c r="M2" s="3" t="s">
        <v>6</v>
      </c>
      <c r="N2" s="3"/>
      <c r="O2" s="3"/>
      <c r="P2" s="3"/>
      <c r="Q2" s="3"/>
    </row>
    <row r="3" spans="2:17">
      <c r="C3" t="s">
        <v>0</v>
      </c>
      <c r="D3" t="s">
        <v>7</v>
      </c>
      <c r="E3" t="s">
        <v>1</v>
      </c>
      <c r="F3" t="s">
        <v>2</v>
      </c>
      <c r="G3" t="s">
        <v>3</v>
      </c>
      <c r="H3" t="s">
        <v>0</v>
      </c>
      <c r="I3" t="s">
        <v>7</v>
      </c>
      <c r="J3" t="s">
        <v>1</v>
      </c>
      <c r="K3" t="s">
        <v>2</v>
      </c>
      <c r="L3" t="s">
        <v>3</v>
      </c>
      <c r="M3" t="s">
        <v>0</v>
      </c>
      <c r="N3" t="s">
        <v>7</v>
      </c>
      <c r="O3" t="s">
        <v>1</v>
      </c>
      <c r="P3" t="s">
        <v>2</v>
      </c>
      <c r="Q3" t="s">
        <v>3</v>
      </c>
    </row>
    <row r="4" spans="2:17">
      <c r="B4">
        <v>100</v>
      </c>
      <c r="C4">
        <v>52.26</v>
      </c>
      <c r="D4">
        <v>17</v>
      </c>
      <c r="E4">
        <v>79.7</v>
      </c>
      <c r="F4">
        <v>79.459999999999994</v>
      </c>
      <c r="G4">
        <v>2592</v>
      </c>
      <c r="H4">
        <v>58.02</v>
      </c>
      <c r="I4">
        <v>17</v>
      </c>
      <c r="J4">
        <v>71.87</v>
      </c>
      <c r="K4">
        <v>71.75</v>
      </c>
      <c r="L4">
        <v>2594</v>
      </c>
      <c r="M4">
        <v>51.93</v>
      </c>
      <c r="N4">
        <v>17</v>
      </c>
      <c r="O4">
        <v>84.78</v>
      </c>
      <c r="P4">
        <v>84.45</v>
      </c>
      <c r="Q4">
        <v>2592</v>
      </c>
    </row>
    <row r="5" spans="2:17">
      <c r="B5">
        <v>200</v>
      </c>
      <c r="C5">
        <v>58.27</v>
      </c>
      <c r="D5">
        <v>16</v>
      </c>
      <c r="E5">
        <v>106.69</v>
      </c>
      <c r="F5">
        <v>106.48</v>
      </c>
      <c r="G5">
        <v>5161</v>
      </c>
      <c r="H5">
        <v>64.319999999999993</v>
      </c>
      <c r="I5">
        <v>16</v>
      </c>
      <c r="J5">
        <v>103.23</v>
      </c>
      <c r="K5">
        <v>103.06</v>
      </c>
      <c r="L5">
        <v>5147</v>
      </c>
      <c r="M5">
        <v>53.56</v>
      </c>
      <c r="N5">
        <v>16</v>
      </c>
      <c r="O5">
        <v>128.97</v>
      </c>
      <c r="P5">
        <v>128.63</v>
      </c>
      <c r="Q5">
        <v>5061</v>
      </c>
    </row>
    <row r="6" spans="2:17">
      <c r="B6">
        <v>300</v>
      </c>
      <c r="C6">
        <v>108.25</v>
      </c>
      <c r="D6">
        <v>14</v>
      </c>
      <c r="E6">
        <v>237.07</v>
      </c>
      <c r="F6">
        <v>236.59</v>
      </c>
      <c r="G6">
        <v>6216</v>
      </c>
      <c r="H6">
        <v>79.03</v>
      </c>
      <c r="I6">
        <v>16</v>
      </c>
      <c r="J6">
        <v>200.78</v>
      </c>
      <c r="K6">
        <v>200.32</v>
      </c>
      <c r="L6">
        <v>6310</v>
      </c>
      <c r="M6">
        <v>67.27</v>
      </c>
      <c r="N6">
        <v>16</v>
      </c>
      <c r="O6">
        <v>187.99</v>
      </c>
      <c r="P6">
        <v>187.52</v>
      </c>
      <c r="Q6">
        <v>6261</v>
      </c>
    </row>
    <row r="7" spans="2:17">
      <c r="B7">
        <v>400</v>
      </c>
      <c r="C7">
        <v>106</v>
      </c>
      <c r="D7">
        <v>12</v>
      </c>
      <c r="E7">
        <v>270.94</v>
      </c>
      <c r="F7">
        <v>270.37</v>
      </c>
      <c r="G7">
        <v>5861</v>
      </c>
      <c r="H7">
        <v>98.17</v>
      </c>
      <c r="I7">
        <v>13</v>
      </c>
      <c r="J7">
        <v>243.04</v>
      </c>
      <c r="K7">
        <v>242.59</v>
      </c>
      <c r="L7">
        <v>5969</v>
      </c>
      <c r="M7">
        <v>88.42</v>
      </c>
      <c r="N7">
        <v>15</v>
      </c>
      <c r="O7">
        <v>268.97000000000003</v>
      </c>
      <c r="P7">
        <v>268.18</v>
      </c>
      <c r="Q7">
        <v>5388</v>
      </c>
    </row>
    <row r="8" spans="2:17">
      <c r="B8">
        <v>500</v>
      </c>
      <c r="C8">
        <v>101.69</v>
      </c>
      <c r="D8">
        <v>10</v>
      </c>
      <c r="E8">
        <v>324.24</v>
      </c>
      <c r="F8">
        <v>323.68</v>
      </c>
      <c r="G8">
        <v>6897</v>
      </c>
      <c r="H8">
        <v>81.099999999999994</v>
      </c>
      <c r="I8">
        <v>9</v>
      </c>
      <c r="J8">
        <v>267.72000000000003</v>
      </c>
      <c r="K8">
        <v>267.3</v>
      </c>
      <c r="L8">
        <v>6029</v>
      </c>
      <c r="M8">
        <v>71.56</v>
      </c>
      <c r="N8">
        <v>10</v>
      </c>
      <c r="O8">
        <v>267.18</v>
      </c>
      <c r="P8">
        <v>266.68</v>
      </c>
      <c r="Q8">
        <v>5895</v>
      </c>
    </row>
    <row r="9" spans="2:17">
      <c r="B9">
        <v>600</v>
      </c>
      <c r="C9">
        <v>96.95</v>
      </c>
      <c r="D9">
        <v>8</v>
      </c>
      <c r="E9">
        <v>349.14</v>
      </c>
      <c r="F9">
        <v>348.64</v>
      </c>
      <c r="G9">
        <v>6314</v>
      </c>
      <c r="H9">
        <v>76.290000000000006</v>
      </c>
      <c r="I9">
        <v>8</v>
      </c>
      <c r="J9">
        <v>274.11</v>
      </c>
      <c r="K9">
        <v>273.69</v>
      </c>
      <c r="L9">
        <v>6098</v>
      </c>
      <c r="M9">
        <v>61</v>
      </c>
      <c r="N9">
        <v>7</v>
      </c>
      <c r="O9">
        <v>242.88</v>
      </c>
      <c r="P9">
        <v>242.57</v>
      </c>
      <c r="Q9">
        <v>6358</v>
      </c>
    </row>
    <row r="10" spans="2:17">
      <c r="B10">
        <v>700</v>
      </c>
      <c r="C10">
        <v>98.12</v>
      </c>
      <c r="D10">
        <v>7</v>
      </c>
      <c r="E10">
        <v>376.46</v>
      </c>
      <c r="F10">
        <v>375.89</v>
      </c>
      <c r="G10">
        <v>5878</v>
      </c>
      <c r="H10">
        <v>71.11</v>
      </c>
      <c r="I10">
        <v>7</v>
      </c>
      <c r="J10">
        <v>264.94</v>
      </c>
      <c r="K10">
        <v>264.56</v>
      </c>
      <c r="L10">
        <v>6175</v>
      </c>
      <c r="M10">
        <v>64.19</v>
      </c>
      <c r="N10">
        <v>6</v>
      </c>
      <c r="O10">
        <v>243.2</v>
      </c>
      <c r="P10">
        <v>242.93</v>
      </c>
      <c r="Q10">
        <v>6586</v>
      </c>
    </row>
    <row r="11" spans="2:17">
      <c r="B11">
        <v>800</v>
      </c>
      <c r="C11">
        <v>110</v>
      </c>
      <c r="D11">
        <v>6</v>
      </c>
      <c r="E11">
        <v>365.15</v>
      </c>
      <c r="F11">
        <v>364.7</v>
      </c>
      <c r="G11">
        <v>6045</v>
      </c>
      <c r="H11">
        <v>73.63</v>
      </c>
      <c r="I11">
        <v>6</v>
      </c>
      <c r="J11">
        <v>265.54000000000002</v>
      </c>
      <c r="K11">
        <v>265.24</v>
      </c>
      <c r="L11">
        <v>6452</v>
      </c>
      <c r="M11">
        <v>67.81</v>
      </c>
      <c r="N11">
        <v>6</v>
      </c>
      <c r="O11">
        <v>233.36</v>
      </c>
      <c r="P11">
        <v>233.12</v>
      </c>
      <c r="Q11">
        <v>6656</v>
      </c>
    </row>
    <row r="12" spans="2:17">
      <c r="C12" t="s">
        <v>0</v>
      </c>
      <c r="E12" t="s">
        <v>1</v>
      </c>
      <c r="H12" t="s">
        <v>0</v>
      </c>
      <c r="J12" t="s">
        <v>1</v>
      </c>
      <c r="M12" t="s">
        <v>0</v>
      </c>
      <c r="O12" t="s">
        <v>1</v>
      </c>
    </row>
    <row r="13" spans="2:17">
      <c r="B13">
        <v>100</v>
      </c>
      <c r="C13">
        <v>52.26</v>
      </c>
      <c r="E13">
        <v>79.7</v>
      </c>
      <c r="H13">
        <v>58.02</v>
      </c>
      <c r="I13">
        <f>((H13-C13)/H13)*100</f>
        <v>9.9276111685625725</v>
      </c>
      <c r="J13">
        <v>71.87</v>
      </c>
      <c r="K13">
        <f>((J13-E13)/J13)*100</f>
        <v>-10.894670933630163</v>
      </c>
      <c r="M13">
        <v>51.93</v>
      </c>
      <c r="N13">
        <f>((M13-C13)/M13)*100</f>
        <v>-0.63547082611207062</v>
      </c>
      <c r="O13">
        <v>84.78</v>
      </c>
      <c r="P13">
        <f>((O13-E13)/O13)*100</f>
        <v>5.9919792403868817</v>
      </c>
    </row>
    <row r="14" spans="2:17">
      <c r="B14">
        <v>200</v>
      </c>
      <c r="C14">
        <v>58.27</v>
      </c>
      <c r="E14">
        <v>106.69</v>
      </c>
      <c r="H14">
        <v>64.319999999999993</v>
      </c>
      <c r="I14">
        <f t="shared" ref="I14:I21" si="0">((H14-C14)/H14)*100</f>
        <v>9.4060945273631695</v>
      </c>
      <c r="J14">
        <v>103.23</v>
      </c>
      <c r="K14">
        <f t="shared" ref="K14:K21" si="1">((J14-E14)/J14)*100</f>
        <v>-3.3517388356097975</v>
      </c>
      <c r="M14">
        <v>53.56</v>
      </c>
      <c r="N14">
        <f t="shared" ref="N14:N21" si="2">((M14-C14)/M14)*100</f>
        <v>-8.7938760268857372</v>
      </c>
      <c r="O14">
        <v>128.97</v>
      </c>
      <c r="P14">
        <f t="shared" ref="P14:P21" si="3">((O14-E14)/O14)*100</f>
        <v>17.275335349306044</v>
      </c>
    </row>
    <row r="15" spans="2:17">
      <c r="B15">
        <v>300</v>
      </c>
      <c r="C15">
        <v>108.25</v>
      </c>
      <c r="E15">
        <v>237.07</v>
      </c>
      <c r="H15">
        <v>79.03</v>
      </c>
      <c r="I15">
        <f t="shared" si="0"/>
        <v>-36.973301277995695</v>
      </c>
      <c r="J15">
        <v>200.78</v>
      </c>
      <c r="K15">
        <f t="shared" si="1"/>
        <v>-18.074509413288173</v>
      </c>
      <c r="M15">
        <v>67.27</v>
      </c>
      <c r="N15">
        <f t="shared" si="2"/>
        <v>-60.918685892671334</v>
      </c>
      <c r="O15">
        <v>187.99</v>
      </c>
      <c r="P15">
        <f t="shared" si="3"/>
        <v>-26.107771689983501</v>
      </c>
    </row>
    <row r="16" spans="2:17">
      <c r="B16">
        <v>400</v>
      </c>
      <c r="C16">
        <v>106</v>
      </c>
      <c r="E16">
        <v>270.94</v>
      </c>
      <c r="H16">
        <v>98.17</v>
      </c>
      <c r="I16">
        <f t="shared" si="0"/>
        <v>-7.9759600692675958</v>
      </c>
      <c r="J16">
        <v>243.04</v>
      </c>
      <c r="K16">
        <f t="shared" si="1"/>
        <v>-11.479591836734697</v>
      </c>
      <c r="M16">
        <v>88.42</v>
      </c>
      <c r="N16">
        <f t="shared" si="2"/>
        <v>-19.882379552137522</v>
      </c>
      <c r="O16">
        <v>268.97000000000003</v>
      </c>
      <c r="P16">
        <f t="shared" si="3"/>
        <v>-0.73242369037438015</v>
      </c>
    </row>
    <row r="17" spans="2:16">
      <c r="B17">
        <v>500</v>
      </c>
      <c r="C17">
        <v>101.69</v>
      </c>
      <c r="E17">
        <v>324.24</v>
      </c>
      <c r="H17">
        <v>81.099999999999994</v>
      </c>
      <c r="I17">
        <f t="shared" si="0"/>
        <v>-25.388409371146736</v>
      </c>
      <c r="J17">
        <v>267.72000000000003</v>
      </c>
      <c r="K17">
        <f t="shared" si="1"/>
        <v>-21.111609143881658</v>
      </c>
      <c r="M17">
        <v>71.56</v>
      </c>
      <c r="N17">
        <f t="shared" si="2"/>
        <v>-42.104527669088867</v>
      </c>
      <c r="O17">
        <v>267.18</v>
      </c>
      <c r="P17">
        <f t="shared" si="3"/>
        <v>-21.356388951268805</v>
      </c>
    </row>
    <row r="18" spans="2:16">
      <c r="B18">
        <v>600</v>
      </c>
      <c r="C18">
        <v>96.95</v>
      </c>
      <c r="E18">
        <v>349.14</v>
      </c>
      <c r="H18">
        <v>76.290000000000006</v>
      </c>
      <c r="I18">
        <f t="shared" si="0"/>
        <v>-27.080875606239342</v>
      </c>
      <c r="J18">
        <v>274.11</v>
      </c>
      <c r="K18">
        <f t="shared" si="1"/>
        <v>-27.372222830250621</v>
      </c>
      <c r="M18">
        <v>61</v>
      </c>
      <c r="N18">
        <f t="shared" si="2"/>
        <v>-58.934426229508198</v>
      </c>
      <c r="O18">
        <v>242.88</v>
      </c>
      <c r="P18">
        <f t="shared" si="3"/>
        <v>-43.749999999999993</v>
      </c>
    </row>
    <row r="19" spans="2:16">
      <c r="B19">
        <v>700</v>
      </c>
      <c r="C19">
        <v>98.12</v>
      </c>
      <c r="E19">
        <v>376.46</v>
      </c>
      <c r="H19">
        <v>71.11</v>
      </c>
      <c r="I19">
        <f t="shared" si="0"/>
        <v>-37.983405990718609</v>
      </c>
      <c r="J19">
        <v>264.94</v>
      </c>
      <c r="K19">
        <f t="shared" si="1"/>
        <v>-42.092549256435412</v>
      </c>
      <c r="M19">
        <v>64.19</v>
      </c>
      <c r="N19">
        <f t="shared" si="2"/>
        <v>-52.858700732201292</v>
      </c>
      <c r="O19">
        <v>243.2</v>
      </c>
      <c r="P19">
        <f t="shared" si="3"/>
        <v>-54.794407894736842</v>
      </c>
    </row>
    <row r="20" spans="2:16">
      <c r="B20">
        <v>800</v>
      </c>
      <c r="C20">
        <v>110</v>
      </c>
      <c r="E20">
        <v>365.15</v>
      </c>
      <c r="H20">
        <v>73.63</v>
      </c>
      <c r="I20">
        <f t="shared" si="0"/>
        <v>-49.395626782561465</v>
      </c>
      <c r="J20">
        <v>265.54000000000002</v>
      </c>
      <c r="K20">
        <f t="shared" si="1"/>
        <v>-37.512239210665037</v>
      </c>
      <c r="M20">
        <v>67.81</v>
      </c>
      <c r="N20">
        <f t="shared" si="2"/>
        <v>-62.217961952514379</v>
      </c>
      <c r="O20">
        <v>233.36</v>
      </c>
      <c r="P20">
        <f t="shared" si="3"/>
        <v>-56.474974288652703</v>
      </c>
    </row>
    <row r="21" spans="2:16">
      <c r="C21">
        <f>AVERAGE(C13:C20)</f>
        <v>91.442499999999995</v>
      </c>
      <c r="E21">
        <f>AVERAGE(E13:E20)</f>
        <v>263.67374999999998</v>
      </c>
      <c r="H21">
        <f>AVERAGE(H13:H20)</f>
        <v>75.208749999999995</v>
      </c>
      <c r="I21">
        <f t="shared" si="0"/>
        <v>-21.58492196719132</v>
      </c>
      <c r="J21">
        <f>AVERAGE(J13:J20)</f>
        <v>211.40375</v>
      </c>
      <c r="K21">
        <f t="shared" si="1"/>
        <v>-24.725200002365135</v>
      </c>
      <c r="M21">
        <f>AVERAGE(M13:M20)</f>
        <v>65.717500000000001</v>
      </c>
      <c r="N21">
        <f t="shared" si="2"/>
        <v>-39.144824437935092</v>
      </c>
      <c r="O21">
        <f>AVERAGE(O13:O20)</f>
        <v>207.16624999999999</v>
      </c>
      <c r="P21">
        <f t="shared" si="3"/>
        <v>-27.276402406279978</v>
      </c>
    </row>
  </sheetData>
  <mergeCells count="3">
    <mergeCell ref="C2:G2"/>
    <mergeCell ref="H2:L2"/>
    <mergeCell ref="M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4"/>
  <sheetViews>
    <sheetView topLeftCell="B1" workbookViewId="0">
      <selection activeCell="H13" sqref="H13"/>
    </sheetView>
  </sheetViews>
  <sheetFormatPr defaultRowHeight="14.25"/>
  <cols>
    <col min="15" max="15" width="11.25" customWidth="1"/>
  </cols>
  <sheetData>
    <row r="2" spans="1:20">
      <c r="B2" s="3" t="s">
        <v>4</v>
      </c>
      <c r="C2" s="3"/>
      <c r="D2" s="3"/>
      <c r="E2" s="3"/>
      <c r="F2" s="3"/>
      <c r="G2" s="3"/>
      <c r="H2" s="3" t="s">
        <v>5</v>
      </c>
      <c r="I2" s="3"/>
      <c r="J2" s="3"/>
      <c r="K2" s="3"/>
      <c r="L2" s="3"/>
      <c r="M2" s="3"/>
      <c r="N2" s="3"/>
      <c r="O2" s="3" t="s">
        <v>6</v>
      </c>
      <c r="P2" s="3"/>
      <c r="Q2" s="3"/>
      <c r="R2" s="3"/>
      <c r="S2" s="3"/>
    </row>
    <row r="3" spans="1:20">
      <c r="B3" t="s">
        <v>0</v>
      </c>
      <c r="D3" t="s">
        <v>1</v>
      </c>
      <c r="F3" t="s">
        <v>8</v>
      </c>
      <c r="H3" t="s">
        <v>0</v>
      </c>
      <c r="J3" t="s">
        <v>1</v>
      </c>
      <c r="L3" t="s">
        <v>3</v>
      </c>
      <c r="O3" t="s">
        <v>0</v>
      </c>
      <c r="Q3" t="s">
        <v>1</v>
      </c>
      <c r="S3" t="s">
        <v>3</v>
      </c>
    </row>
    <row r="4" spans="1:20">
      <c r="A4">
        <v>100</v>
      </c>
      <c r="B4">
        <v>52.26</v>
      </c>
      <c r="D4">
        <v>79.7</v>
      </c>
      <c r="F4">
        <v>2592</v>
      </c>
      <c r="H4">
        <v>58.02</v>
      </c>
      <c r="I4">
        <f>((H4-B4)/H4)*100</f>
        <v>9.9276111685625725</v>
      </c>
      <c r="J4">
        <v>71.87</v>
      </c>
      <c r="K4">
        <f>((J4-D4)/J4)*100</f>
        <v>-10.894670933630163</v>
      </c>
      <c r="L4">
        <v>2594</v>
      </c>
      <c r="M4">
        <f>((L4-F4)/L4)*100</f>
        <v>7.7101002313030062E-2</v>
      </c>
      <c r="O4">
        <v>51.93</v>
      </c>
      <c r="P4">
        <f>((O4-B4)/O4)*100</f>
        <v>-0.63547082611207062</v>
      </c>
      <c r="Q4">
        <v>84.78</v>
      </c>
      <c r="R4">
        <f>((Q4-D4)/Q4)*100</f>
        <v>5.9919792403868817</v>
      </c>
      <c r="S4">
        <v>2592</v>
      </c>
      <c r="T4">
        <f>((S4-F4)/S4)*100</f>
        <v>0</v>
      </c>
    </row>
    <row r="5" spans="1:20">
      <c r="A5">
        <v>200</v>
      </c>
      <c r="B5">
        <v>58.27</v>
      </c>
      <c r="D5">
        <v>106.69</v>
      </c>
      <c r="F5">
        <v>5161</v>
      </c>
      <c r="H5">
        <v>64.319999999999993</v>
      </c>
      <c r="I5">
        <f t="shared" ref="I5:I14" si="0">((H5-B5)/H5)*100</f>
        <v>9.4060945273631695</v>
      </c>
      <c r="J5">
        <v>103.23</v>
      </c>
      <c r="K5">
        <f t="shared" ref="K5:K14" si="1">((J5-D5)/J5)*100</f>
        <v>-3.3517388356097975</v>
      </c>
      <c r="L5">
        <v>5147</v>
      </c>
      <c r="M5">
        <f t="shared" ref="M5:M14" si="2">((L5-F5)/L5)*100</f>
        <v>-0.27200310860695548</v>
      </c>
      <c r="O5">
        <v>53.56</v>
      </c>
      <c r="P5">
        <f t="shared" ref="P5:P14" si="3">((O5-B5)/O5)*100</f>
        <v>-8.7938760268857372</v>
      </c>
      <c r="Q5">
        <v>128.97</v>
      </c>
      <c r="R5">
        <f t="shared" ref="R5:R14" si="4">((Q5-D5)/Q5)*100</f>
        <v>17.275335349306044</v>
      </c>
      <c r="S5">
        <v>5061</v>
      </c>
      <c r="T5">
        <f t="shared" ref="T5:T14" si="5">((S5-F5)/S5)*100</f>
        <v>-1.9758940920766646</v>
      </c>
    </row>
    <row r="6" spans="1:20">
      <c r="A6">
        <v>300</v>
      </c>
      <c r="B6">
        <v>108.25</v>
      </c>
      <c r="D6">
        <v>237.07</v>
      </c>
      <c r="F6">
        <v>6216</v>
      </c>
      <c r="H6">
        <v>79.03</v>
      </c>
      <c r="I6">
        <f t="shared" si="0"/>
        <v>-36.973301277995695</v>
      </c>
      <c r="J6">
        <v>200.78</v>
      </c>
      <c r="K6">
        <f t="shared" si="1"/>
        <v>-18.074509413288173</v>
      </c>
      <c r="L6">
        <v>6310</v>
      </c>
      <c r="M6">
        <f t="shared" si="2"/>
        <v>1.4896988906497624</v>
      </c>
      <c r="O6">
        <v>67.27</v>
      </c>
      <c r="P6">
        <f t="shared" si="3"/>
        <v>-60.918685892671334</v>
      </c>
      <c r="Q6">
        <v>187.99</v>
      </c>
      <c r="R6">
        <f t="shared" si="4"/>
        <v>-26.107771689983501</v>
      </c>
      <c r="S6">
        <v>6261</v>
      </c>
      <c r="T6">
        <f t="shared" si="5"/>
        <v>0.71873502635361763</v>
      </c>
    </row>
    <row r="7" spans="1:20">
      <c r="A7">
        <v>400</v>
      </c>
      <c r="B7">
        <v>106</v>
      </c>
      <c r="D7">
        <v>270.94</v>
      </c>
      <c r="F7">
        <v>5861</v>
      </c>
      <c r="H7">
        <v>98.17</v>
      </c>
      <c r="I7">
        <f t="shared" si="0"/>
        <v>-7.9759600692675958</v>
      </c>
      <c r="J7">
        <v>243.04</v>
      </c>
      <c r="K7">
        <f t="shared" si="1"/>
        <v>-11.479591836734697</v>
      </c>
      <c r="L7">
        <v>5969</v>
      </c>
      <c r="M7">
        <f t="shared" si="2"/>
        <v>1.8093482995476629</v>
      </c>
      <c r="O7">
        <v>88.42</v>
      </c>
      <c r="P7">
        <f t="shared" si="3"/>
        <v>-19.882379552137522</v>
      </c>
      <c r="Q7">
        <v>268.97000000000003</v>
      </c>
      <c r="R7">
        <f t="shared" si="4"/>
        <v>-0.73242369037438015</v>
      </c>
      <c r="S7">
        <v>5388</v>
      </c>
      <c r="T7">
        <f t="shared" si="5"/>
        <v>-8.7787676317743131</v>
      </c>
    </row>
    <row r="8" spans="1:20">
      <c r="A8">
        <v>500</v>
      </c>
      <c r="B8">
        <v>101.69</v>
      </c>
      <c r="D8">
        <v>324.24</v>
      </c>
      <c r="F8">
        <v>6897</v>
      </c>
      <c r="H8">
        <v>81.099999999999994</v>
      </c>
      <c r="I8">
        <f t="shared" si="0"/>
        <v>-25.388409371146736</v>
      </c>
      <c r="J8">
        <v>267.72000000000003</v>
      </c>
      <c r="K8">
        <f t="shared" si="1"/>
        <v>-21.111609143881658</v>
      </c>
      <c r="L8">
        <v>6029</v>
      </c>
      <c r="M8">
        <f t="shared" si="2"/>
        <v>-14.397080776248133</v>
      </c>
      <c r="O8">
        <v>71.56</v>
      </c>
      <c r="P8">
        <f t="shared" si="3"/>
        <v>-42.104527669088867</v>
      </c>
      <c r="Q8">
        <v>267.18</v>
      </c>
      <c r="R8">
        <f t="shared" si="4"/>
        <v>-21.356388951268805</v>
      </c>
      <c r="S8">
        <v>5895</v>
      </c>
      <c r="T8">
        <f t="shared" si="5"/>
        <v>-16.997455470737911</v>
      </c>
    </row>
    <row r="9" spans="1:20">
      <c r="A9">
        <v>600</v>
      </c>
      <c r="B9">
        <v>96.95</v>
      </c>
      <c r="D9">
        <v>349.14</v>
      </c>
      <c r="F9">
        <v>6314</v>
      </c>
      <c r="H9">
        <v>76.290000000000006</v>
      </c>
      <c r="I9">
        <f t="shared" si="0"/>
        <v>-27.080875606239342</v>
      </c>
      <c r="J9">
        <v>274.11</v>
      </c>
      <c r="K9">
        <f t="shared" si="1"/>
        <v>-27.372222830250621</v>
      </c>
      <c r="L9">
        <v>6098</v>
      </c>
      <c r="M9">
        <f t="shared" si="2"/>
        <v>-3.5421449655624797</v>
      </c>
      <c r="O9">
        <v>61</v>
      </c>
      <c r="P9">
        <f t="shared" si="3"/>
        <v>-58.934426229508198</v>
      </c>
      <c r="Q9">
        <v>242.88</v>
      </c>
      <c r="R9">
        <f t="shared" si="4"/>
        <v>-43.749999999999993</v>
      </c>
      <c r="S9">
        <v>6358</v>
      </c>
      <c r="T9">
        <f t="shared" si="5"/>
        <v>0.69204152249134954</v>
      </c>
    </row>
    <row r="10" spans="1:20">
      <c r="A10">
        <v>700</v>
      </c>
      <c r="B10">
        <v>98.12</v>
      </c>
      <c r="D10">
        <v>376.46</v>
      </c>
      <c r="F10">
        <v>5878</v>
      </c>
      <c r="H10">
        <v>71.11</v>
      </c>
      <c r="I10">
        <f t="shared" si="0"/>
        <v>-37.983405990718609</v>
      </c>
      <c r="J10">
        <v>264.94</v>
      </c>
      <c r="K10">
        <f t="shared" si="1"/>
        <v>-42.092549256435412</v>
      </c>
      <c r="L10">
        <v>6175</v>
      </c>
      <c r="M10">
        <f t="shared" si="2"/>
        <v>4.809716599190283</v>
      </c>
      <c r="O10">
        <v>64.19</v>
      </c>
      <c r="P10">
        <f t="shared" si="3"/>
        <v>-52.858700732201292</v>
      </c>
      <c r="Q10">
        <v>243.2</v>
      </c>
      <c r="R10">
        <f t="shared" si="4"/>
        <v>-54.794407894736842</v>
      </c>
      <c r="S10">
        <v>6586</v>
      </c>
      <c r="T10">
        <f t="shared" si="5"/>
        <v>10.750075918615245</v>
      </c>
    </row>
    <row r="11" spans="1:20">
      <c r="A11">
        <v>800</v>
      </c>
      <c r="B11">
        <v>110</v>
      </c>
      <c r="D11">
        <v>365.15</v>
      </c>
      <c r="F11">
        <v>6045</v>
      </c>
      <c r="H11">
        <v>73.63</v>
      </c>
      <c r="I11">
        <f t="shared" si="0"/>
        <v>-49.395626782561465</v>
      </c>
      <c r="J11">
        <v>265.94</v>
      </c>
      <c r="K11">
        <f t="shared" si="1"/>
        <v>-37.305407234714586</v>
      </c>
      <c r="L11">
        <v>6452</v>
      </c>
      <c r="M11">
        <f t="shared" si="2"/>
        <v>6.3081215127092376</v>
      </c>
      <c r="O11">
        <v>67.81</v>
      </c>
      <c r="P11">
        <f t="shared" si="3"/>
        <v>-62.217961952514379</v>
      </c>
      <c r="Q11">
        <v>233.36</v>
      </c>
      <c r="R11">
        <f t="shared" si="4"/>
        <v>-56.474974288652703</v>
      </c>
      <c r="S11">
        <v>6656</v>
      </c>
      <c r="T11">
        <f t="shared" si="5"/>
        <v>9.1796875</v>
      </c>
    </row>
    <row r="12" spans="1:20">
      <c r="A12">
        <v>900</v>
      </c>
      <c r="B12">
        <v>143.41999999999999</v>
      </c>
      <c r="D12">
        <v>381.94</v>
      </c>
      <c r="F12">
        <v>5503</v>
      </c>
      <c r="H12">
        <v>75.23</v>
      </c>
      <c r="I12">
        <f t="shared" si="0"/>
        <v>-90.642031104612499</v>
      </c>
      <c r="J12">
        <v>262.39999999999998</v>
      </c>
      <c r="K12">
        <f t="shared" si="1"/>
        <v>-45.556402439024403</v>
      </c>
      <c r="L12">
        <v>6407</v>
      </c>
      <c r="M12">
        <f t="shared" si="2"/>
        <v>14.10956766037147</v>
      </c>
      <c r="O12">
        <v>60.69</v>
      </c>
      <c r="P12">
        <f t="shared" si="3"/>
        <v>-136.31570275168889</v>
      </c>
      <c r="Q12">
        <v>245.58</v>
      </c>
      <c r="R12">
        <f t="shared" si="4"/>
        <v>-55.525694274778068</v>
      </c>
      <c r="S12">
        <v>6578</v>
      </c>
      <c r="T12">
        <f t="shared" si="5"/>
        <v>16.342353298875036</v>
      </c>
    </row>
    <row r="13" spans="1:20">
      <c r="A13">
        <v>1000</v>
      </c>
      <c r="B13">
        <v>158.25</v>
      </c>
      <c r="D13">
        <v>423.87</v>
      </c>
      <c r="F13">
        <v>5802</v>
      </c>
      <c r="H13">
        <v>72</v>
      </c>
      <c r="I13">
        <f t="shared" si="0"/>
        <v>-119.79166666666667</v>
      </c>
      <c r="J13">
        <v>255.02</v>
      </c>
      <c r="K13">
        <f t="shared" si="1"/>
        <v>-66.210493294643555</v>
      </c>
      <c r="L13">
        <v>6446</v>
      </c>
      <c r="M13">
        <f t="shared" si="2"/>
        <v>9.9906919019546994</v>
      </c>
      <c r="O13">
        <v>68.540000000000006</v>
      </c>
      <c r="P13">
        <f t="shared" si="3"/>
        <v>-130.88707324190253</v>
      </c>
      <c r="Q13">
        <v>245.68</v>
      </c>
      <c r="R13">
        <f t="shared" si="4"/>
        <v>-72.529306414848577</v>
      </c>
      <c r="S13">
        <v>6468</v>
      </c>
      <c r="T13">
        <f t="shared" si="5"/>
        <v>10.296846011131725</v>
      </c>
    </row>
    <row r="14" spans="1:20">
      <c r="B14">
        <f>AVERAGE(B4:B13)</f>
        <v>103.321</v>
      </c>
      <c r="D14">
        <f>AVERAGE(D4:D13)</f>
        <v>291.52</v>
      </c>
      <c r="F14">
        <f>AVERAGE(F4:F13)</f>
        <v>5626.9</v>
      </c>
      <c r="H14">
        <f>AVERAGE(H4:H13)</f>
        <v>74.89</v>
      </c>
      <c r="I14">
        <f t="shared" si="0"/>
        <v>-37.963680064094</v>
      </c>
      <c r="J14">
        <f>AVERAGE(J4:J13)</f>
        <v>220.90500000000003</v>
      </c>
      <c r="K14">
        <f t="shared" si="1"/>
        <v>-31.966229827301301</v>
      </c>
      <c r="L14">
        <f>AVERAGE(L4:L13)</f>
        <v>5762.7</v>
      </c>
      <c r="M14">
        <f t="shared" si="2"/>
        <v>2.3565342634528985</v>
      </c>
      <c r="O14">
        <f>AVERAGE(O4:O13)</f>
        <v>65.497</v>
      </c>
      <c r="P14">
        <f t="shared" si="3"/>
        <v>-57.749209887475757</v>
      </c>
      <c r="Q14">
        <f>AVERAGE(Q4:Q13)</f>
        <v>214.85899999999998</v>
      </c>
      <c r="R14">
        <f t="shared" si="4"/>
        <v>-35.679678300652988</v>
      </c>
      <c r="S14">
        <f>AVERAGE(S4:S13)</f>
        <v>5784.3</v>
      </c>
      <c r="T14">
        <f t="shared" si="5"/>
        <v>2.7211589993603469</v>
      </c>
    </row>
  </sheetData>
  <mergeCells count="3">
    <mergeCell ref="B2:G2"/>
    <mergeCell ref="H2:N2"/>
    <mergeCell ref="O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4"/>
  <sheetViews>
    <sheetView workbookViewId="0">
      <selection activeCell="B2" sqref="B2:P14"/>
    </sheetView>
  </sheetViews>
  <sheetFormatPr defaultRowHeight="14.25"/>
  <sheetData>
    <row r="2" spans="2:16">
      <c r="C2" s="3" t="s">
        <v>4</v>
      </c>
      <c r="D2" s="3"/>
      <c r="E2" s="3"/>
      <c r="F2" s="3"/>
      <c r="G2" s="3"/>
      <c r="H2" s="1"/>
      <c r="I2" s="1"/>
      <c r="J2" s="3" t="s">
        <v>6</v>
      </c>
      <c r="K2" s="3"/>
      <c r="L2" s="3"/>
      <c r="M2" s="3"/>
      <c r="N2" s="3"/>
      <c r="O2" s="3"/>
    </row>
    <row r="3" spans="2:16">
      <c r="C3" t="s">
        <v>0</v>
      </c>
      <c r="E3" t="s">
        <v>1</v>
      </c>
      <c r="G3" t="s">
        <v>3</v>
      </c>
      <c r="J3" t="s">
        <v>0</v>
      </c>
      <c r="L3" t="s">
        <v>1</v>
      </c>
      <c r="O3" t="s">
        <v>3</v>
      </c>
    </row>
    <row r="4" spans="2:16">
      <c r="B4">
        <v>100</v>
      </c>
      <c r="C4">
        <v>52.26</v>
      </c>
      <c r="E4">
        <v>79.7</v>
      </c>
      <c r="G4">
        <v>2592</v>
      </c>
      <c r="J4">
        <v>51.93</v>
      </c>
      <c r="K4">
        <f t="shared" ref="K4:K14" si="0">((J4-C4)/J4)*100</f>
        <v>-0.63547082611207062</v>
      </c>
      <c r="L4">
        <v>84.78</v>
      </c>
      <c r="M4">
        <f t="shared" ref="M4:M14" si="1">((L4-E4)/L4)*100</f>
        <v>5.9919792403868817</v>
      </c>
      <c r="O4">
        <v>2592</v>
      </c>
      <c r="P4">
        <f>((O4-G4)/O4)*100</f>
        <v>0</v>
      </c>
    </row>
    <row r="5" spans="2:16">
      <c r="B5">
        <v>200</v>
      </c>
      <c r="C5">
        <v>58.27</v>
      </c>
      <c r="E5">
        <v>106.69</v>
      </c>
      <c r="G5">
        <v>5161</v>
      </c>
      <c r="J5">
        <v>53.56</v>
      </c>
      <c r="K5">
        <f t="shared" si="0"/>
        <v>-8.7938760268857372</v>
      </c>
      <c r="L5">
        <v>128.97</v>
      </c>
      <c r="M5">
        <f t="shared" si="1"/>
        <v>17.275335349306044</v>
      </c>
      <c r="O5">
        <v>5061</v>
      </c>
      <c r="P5">
        <f t="shared" ref="P5:P14" si="2">((O5-G5)/O5)*100</f>
        <v>-1.9758940920766646</v>
      </c>
    </row>
    <row r="6" spans="2:16">
      <c r="B6">
        <v>300</v>
      </c>
      <c r="C6">
        <v>108.25</v>
      </c>
      <c r="E6">
        <v>237.07</v>
      </c>
      <c r="G6">
        <v>6216</v>
      </c>
      <c r="J6">
        <v>67.27</v>
      </c>
      <c r="K6">
        <f t="shared" si="0"/>
        <v>-60.918685892671334</v>
      </c>
      <c r="L6">
        <v>187.99</v>
      </c>
      <c r="M6">
        <f t="shared" si="1"/>
        <v>-26.107771689983501</v>
      </c>
      <c r="O6">
        <v>6261</v>
      </c>
      <c r="P6">
        <f t="shared" si="2"/>
        <v>0.71873502635361763</v>
      </c>
    </row>
    <row r="7" spans="2:16">
      <c r="B7">
        <v>400</v>
      </c>
      <c r="C7">
        <v>106</v>
      </c>
      <c r="E7">
        <v>270.94</v>
      </c>
      <c r="G7">
        <v>5861</v>
      </c>
      <c r="J7">
        <v>88.42</v>
      </c>
      <c r="K7">
        <f t="shared" si="0"/>
        <v>-19.882379552137522</v>
      </c>
      <c r="L7">
        <v>268.97000000000003</v>
      </c>
      <c r="M7">
        <f t="shared" si="1"/>
        <v>-0.73242369037438015</v>
      </c>
      <c r="O7">
        <v>5388</v>
      </c>
      <c r="P7">
        <f t="shared" si="2"/>
        <v>-8.7787676317743131</v>
      </c>
    </row>
    <row r="8" spans="2:16">
      <c r="B8">
        <v>500</v>
      </c>
      <c r="C8">
        <v>101.69</v>
      </c>
      <c r="E8">
        <v>324.24</v>
      </c>
      <c r="G8">
        <v>6897</v>
      </c>
      <c r="J8">
        <v>71.56</v>
      </c>
      <c r="K8">
        <f t="shared" si="0"/>
        <v>-42.104527669088867</v>
      </c>
      <c r="L8">
        <v>267.18</v>
      </c>
      <c r="M8">
        <f t="shared" si="1"/>
        <v>-21.356388951268805</v>
      </c>
      <c r="O8">
        <v>5895</v>
      </c>
      <c r="P8">
        <f t="shared" si="2"/>
        <v>-16.997455470737911</v>
      </c>
    </row>
    <row r="9" spans="2:16">
      <c r="B9">
        <v>600</v>
      </c>
      <c r="C9">
        <v>96.95</v>
      </c>
      <c r="E9">
        <v>349.14</v>
      </c>
      <c r="G9">
        <v>6314</v>
      </c>
      <c r="J9">
        <v>61</v>
      </c>
      <c r="K9">
        <f t="shared" si="0"/>
        <v>-58.934426229508198</v>
      </c>
      <c r="L9">
        <v>242.88</v>
      </c>
      <c r="M9">
        <f t="shared" si="1"/>
        <v>-43.749999999999993</v>
      </c>
      <c r="O9">
        <v>6358</v>
      </c>
      <c r="P9">
        <f t="shared" si="2"/>
        <v>0.69204152249134954</v>
      </c>
    </row>
    <row r="10" spans="2:16">
      <c r="B10">
        <v>700</v>
      </c>
      <c r="C10">
        <v>98.12</v>
      </c>
      <c r="E10">
        <v>376.46</v>
      </c>
      <c r="G10">
        <v>5878</v>
      </c>
      <c r="J10">
        <v>64.19</v>
      </c>
      <c r="K10">
        <f t="shared" si="0"/>
        <v>-52.858700732201292</v>
      </c>
      <c r="L10">
        <v>243.2</v>
      </c>
      <c r="M10">
        <f t="shared" si="1"/>
        <v>-54.794407894736842</v>
      </c>
      <c r="O10">
        <v>6586</v>
      </c>
      <c r="P10">
        <f t="shared" si="2"/>
        <v>10.750075918615245</v>
      </c>
    </row>
    <row r="11" spans="2:16">
      <c r="B11">
        <v>800</v>
      </c>
      <c r="C11">
        <v>110</v>
      </c>
      <c r="E11">
        <v>365.15</v>
      </c>
      <c r="G11">
        <v>6045</v>
      </c>
      <c r="J11">
        <v>67.81</v>
      </c>
      <c r="K11">
        <f t="shared" si="0"/>
        <v>-62.217961952514379</v>
      </c>
      <c r="L11">
        <v>233.36</v>
      </c>
      <c r="M11">
        <f t="shared" si="1"/>
        <v>-56.474974288652703</v>
      </c>
      <c r="O11">
        <v>6656</v>
      </c>
      <c r="P11">
        <f t="shared" si="2"/>
        <v>9.1796875</v>
      </c>
    </row>
    <row r="12" spans="2:16">
      <c r="B12">
        <v>900</v>
      </c>
      <c r="C12">
        <v>143.41999999999999</v>
      </c>
      <c r="E12">
        <v>381.94</v>
      </c>
      <c r="G12">
        <v>5503</v>
      </c>
      <c r="J12">
        <v>60.69</v>
      </c>
      <c r="K12">
        <f t="shared" si="0"/>
        <v>-136.31570275168889</v>
      </c>
      <c r="L12">
        <v>245.58</v>
      </c>
      <c r="M12">
        <f t="shared" si="1"/>
        <v>-55.525694274778068</v>
      </c>
      <c r="O12">
        <v>6578</v>
      </c>
      <c r="P12">
        <f t="shared" si="2"/>
        <v>16.342353298875036</v>
      </c>
    </row>
    <row r="13" spans="2:16">
      <c r="B13">
        <v>1000</v>
      </c>
      <c r="C13">
        <v>158.25</v>
      </c>
      <c r="E13">
        <v>423.87</v>
      </c>
      <c r="G13">
        <v>5802</v>
      </c>
      <c r="J13">
        <v>68.540000000000006</v>
      </c>
      <c r="K13">
        <f t="shared" si="0"/>
        <v>-130.88707324190253</v>
      </c>
      <c r="L13">
        <v>245.68</v>
      </c>
      <c r="M13">
        <f t="shared" si="1"/>
        <v>-72.529306414848577</v>
      </c>
      <c r="O13">
        <v>6468</v>
      </c>
      <c r="P13">
        <f t="shared" si="2"/>
        <v>10.296846011131725</v>
      </c>
    </row>
    <row r="14" spans="2:16">
      <c r="C14">
        <f>AVERAGE(C4:C13)</f>
        <v>103.321</v>
      </c>
      <c r="E14">
        <f>AVERAGE(E4:E13)</f>
        <v>291.52</v>
      </c>
      <c r="G14">
        <f>AVERAGE(G4:G13)</f>
        <v>5626.9</v>
      </c>
      <c r="J14">
        <f>AVERAGE(J4:J13)</f>
        <v>65.497</v>
      </c>
      <c r="K14">
        <f t="shared" si="0"/>
        <v>-57.749209887475757</v>
      </c>
      <c r="L14">
        <f>AVERAGE(L4:L13)</f>
        <v>214.85899999999998</v>
      </c>
      <c r="M14">
        <f t="shared" si="1"/>
        <v>-35.679678300652988</v>
      </c>
      <c r="O14">
        <f>AVERAGE(O4:O13)</f>
        <v>5784.3</v>
      </c>
      <c r="P14">
        <f t="shared" si="2"/>
        <v>2.7211589993603469</v>
      </c>
    </row>
  </sheetData>
  <mergeCells count="2">
    <mergeCell ref="C2:G2"/>
    <mergeCell ref="J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9"/>
  <sheetViews>
    <sheetView tabSelected="1" topLeftCell="A9" workbookViewId="0">
      <selection activeCell="M18" sqref="M18:P29"/>
    </sheetView>
  </sheetViews>
  <sheetFormatPr defaultRowHeight="14.25"/>
  <sheetData>
    <row r="2" spans="2:16">
      <c r="C2" s="3" t="s">
        <v>4</v>
      </c>
      <c r="D2" s="3"/>
      <c r="E2" s="3"/>
      <c r="F2" s="3"/>
      <c r="G2" s="3"/>
      <c r="H2" s="2"/>
      <c r="I2" s="2"/>
      <c r="J2" s="3" t="s">
        <v>6</v>
      </c>
      <c r="K2" s="3"/>
      <c r="L2" s="3"/>
      <c r="M2" s="3"/>
      <c r="N2" s="3"/>
      <c r="O2" s="3"/>
    </row>
    <row r="3" spans="2:16">
      <c r="C3" t="s">
        <v>0</v>
      </c>
      <c r="E3" t="s">
        <v>1</v>
      </c>
      <c r="G3" t="s">
        <v>3</v>
      </c>
      <c r="J3" t="s">
        <v>0</v>
      </c>
      <c r="L3" t="s">
        <v>1</v>
      </c>
      <c r="O3" t="s">
        <v>3</v>
      </c>
    </row>
    <row r="4" spans="2:16">
      <c r="B4">
        <v>100</v>
      </c>
      <c r="C4">
        <v>52.26</v>
      </c>
      <c r="E4">
        <v>79.7</v>
      </c>
      <c r="G4">
        <v>2592</v>
      </c>
      <c r="J4">
        <v>51.93</v>
      </c>
      <c r="K4">
        <f>((C4-J4)/C4)*100</f>
        <v>0.63145809414465803</v>
      </c>
      <c r="L4">
        <v>84.78</v>
      </c>
      <c r="M4">
        <f>((E4-L4)/E4)*100</f>
        <v>-6.3739021329987438</v>
      </c>
      <c r="O4">
        <v>2592</v>
      </c>
      <c r="P4">
        <f>((O4-G4)/G4)*100</f>
        <v>0</v>
      </c>
    </row>
    <row r="5" spans="2:16">
      <c r="B5">
        <v>200</v>
      </c>
      <c r="C5">
        <v>58.27</v>
      </c>
      <c r="E5">
        <v>106.69</v>
      </c>
      <c r="G5">
        <v>5161</v>
      </c>
      <c r="J5">
        <v>53.56</v>
      </c>
      <c r="K5">
        <f t="shared" ref="K5:K14" si="0">((C5-J5)/C5)*100</f>
        <v>8.0830616097477268</v>
      </c>
      <c r="L5">
        <v>128.97</v>
      </c>
      <c r="M5">
        <f t="shared" ref="M5:M14" si="1">((E5-L5)/E5)*100</f>
        <v>-20.882931858655919</v>
      </c>
      <c r="O5">
        <v>5061</v>
      </c>
      <c r="P5">
        <f t="shared" ref="P5:P14" si="2">((O5-G5)/G5)*100</f>
        <v>-1.9376089905057161</v>
      </c>
    </row>
    <row r="6" spans="2:16">
      <c r="B6">
        <v>300</v>
      </c>
      <c r="C6">
        <v>108.25</v>
      </c>
      <c r="E6">
        <v>237.07</v>
      </c>
      <c r="G6">
        <v>6216</v>
      </c>
      <c r="J6">
        <v>67.27</v>
      </c>
      <c r="K6">
        <f t="shared" si="0"/>
        <v>37.85681293302541</v>
      </c>
      <c r="L6">
        <v>187.99</v>
      </c>
      <c r="M6">
        <f t="shared" si="1"/>
        <v>20.702746024380978</v>
      </c>
      <c r="O6">
        <v>6261</v>
      </c>
      <c r="P6">
        <f t="shared" si="2"/>
        <v>0.72393822393822393</v>
      </c>
    </row>
    <row r="7" spans="2:16">
      <c r="B7">
        <v>400</v>
      </c>
      <c r="C7">
        <v>106</v>
      </c>
      <c r="E7">
        <v>270.94</v>
      </c>
      <c r="G7">
        <v>5861</v>
      </c>
      <c r="J7">
        <v>88.42</v>
      </c>
      <c r="K7">
        <f t="shared" si="0"/>
        <v>16.584905660377359</v>
      </c>
      <c r="L7">
        <v>268.97000000000003</v>
      </c>
      <c r="M7">
        <f t="shared" si="1"/>
        <v>0.72709825053516286</v>
      </c>
      <c r="O7">
        <v>5388</v>
      </c>
      <c r="P7">
        <f t="shared" si="2"/>
        <v>-8.0702951714724449</v>
      </c>
    </row>
    <row r="8" spans="2:16">
      <c r="B8">
        <v>500</v>
      </c>
      <c r="C8">
        <v>101.69</v>
      </c>
      <c r="E8">
        <v>324.24</v>
      </c>
      <c r="G8">
        <v>6897</v>
      </c>
      <c r="J8">
        <v>71.56</v>
      </c>
      <c r="K8">
        <f t="shared" si="0"/>
        <v>29.62926541449503</v>
      </c>
      <c r="L8">
        <v>267.18</v>
      </c>
      <c r="M8">
        <f t="shared" si="1"/>
        <v>17.598075499629903</v>
      </c>
      <c r="O8">
        <v>5895</v>
      </c>
      <c r="P8">
        <f t="shared" si="2"/>
        <v>-14.528055676381035</v>
      </c>
    </row>
    <row r="9" spans="2:16">
      <c r="B9">
        <v>600</v>
      </c>
      <c r="C9">
        <v>96.95</v>
      </c>
      <c r="E9">
        <v>349.14</v>
      </c>
      <c r="G9">
        <v>6314</v>
      </c>
      <c r="J9">
        <v>61</v>
      </c>
      <c r="K9">
        <f t="shared" si="0"/>
        <v>37.080969571944308</v>
      </c>
      <c r="L9">
        <v>242.88</v>
      </c>
      <c r="M9">
        <f t="shared" si="1"/>
        <v>30.434782608695649</v>
      </c>
      <c r="O9">
        <v>6358</v>
      </c>
      <c r="P9">
        <f t="shared" si="2"/>
        <v>0.69686411149825789</v>
      </c>
    </row>
    <row r="10" spans="2:16">
      <c r="B10">
        <v>700</v>
      </c>
      <c r="C10">
        <v>98.12</v>
      </c>
      <c r="E10">
        <v>376.46</v>
      </c>
      <c r="G10">
        <v>5878</v>
      </c>
      <c r="J10">
        <v>64.19</v>
      </c>
      <c r="K10">
        <f t="shared" si="0"/>
        <v>34.580105992662055</v>
      </c>
      <c r="L10">
        <v>243.2</v>
      </c>
      <c r="M10">
        <f t="shared" si="1"/>
        <v>35.398183073898956</v>
      </c>
      <c r="O10">
        <v>6586</v>
      </c>
      <c r="P10">
        <f t="shared" si="2"/>
        <v>12.044913235794489</v>
      </c>
    </row>
    <row r="11" spans="2:16">
      <c r="B11">
        <v>800</v>
      </c>
      <c r="C11">
        <v>110</v>
      </c>
      <c r="E11">
        <v>365.15</v>
      </c>
      <c r="G11">
        <v>6045</v>
      </c>
      <c r="J11">
        <v>67.81</v>
      </c>
      <c r="K11">
        <f t="shared" si="0"/>
        <v>38.354545454545452</v>
      </c>
      <c r="L11">
        <v>233.36</v>
      </c>
      <c r="M11">
        <f t="shared" si="1"/>
        <v>36.09201697932356</v>
      </c>
      <c r="O11">
        <v>6656</v>
      </c>
      <c r="P11">
        <f t="shared" si="2"/>
        <v>10.10752688172043</v>
      </c>
    </row>
    <row r="12" spans="2:16">
      <c r="B12">
        <v>900</v>
      </c>
      <c r="C12">
        <v>143.41999999999999</v>
      </c>
      <c r="E12">
        <v>381.94</v>
      </c>
      <c r="G12">
        <v>5503</v>
      </c>
      <c r="J12">
        <v>60.69</v>
      </c>
      <c r="K12">
        <f t="shared" si="0"/>
        <v>57.683726119090785</v>
      </c>
      <c r="L12">
        <v>245.58</v>
      </c>
      <c r="M12">
        <f t="shared" si="1"/>
        <v>35.701942713515209</v>
      </c>
      <c r="O12">
        <v>6578</v>
      </c>
      <c r="P12">
        <f t="shared" si="2"/>
        <v>19.534799200436126</v>
      </c>
    </row>
    <row r="13" spans="2:16">
      <c r="B13">
        <v>1000</v>
      </c>
      <c r="C13">
        <v>158.25</v>
      </c>
      <c r="E13">
        <v>423.87</v>
      </c>
      <c r="G13">
        <v>5802</v>
      </c>
      <c r="J13">
        <v>68.540000000000006</v>
      </c>
      <c r="K13">
        <f t="shared" si="0"/>
        <v>56.688783570300153</v>
      </c>
      <c r="L13">
        <v>245.68</v>
      </c>
      <c r="M13">
        <f t="shared" si="1"/>
        <v>42.038832660957368</v>
      </c>
      <c r="O13">
        <v>6468</v>
      </c>
      <c r="P13">
        <f t="shared" si="2"/>
        <v>11.478800413650465</v>
      </c>
    </row>
    <row r="14" spans="2:16">
      <c r="C14">
        <f>AVERAGE(C4:C13)</f>
        <v>103.321</v>
      </c>
      <c r="E14">
        <f>AVERAGE(E4:E13)</f>
        <v>291.52</v>
      </c>
      <c r="G14">
        <f>AVERAGE(G4:G13)</f>
        <v>5626.9</v>
      </c>
      <c r="J14">
        <f>AVERAGE(J4:J13)</f>
        <v>65.497</v>
      </c>
      <c r="K14">
        <f t="shared" si="0"/>
        <v>36.608240338362961</v>
      </c>
      <c r="L14">
        <f>AVERAGE(L4:L13)</f>
        <v>214.85899999999998</v>
      </c>
      <c r="M14">
        <f t="shared" si="1"/>
        <v>26.29699506037322</v>
      </c>
      <c r="O14">
        <f>AVERAGE(O4:O13)</f>
        <v>5784.3</v>
      </c>
      <c r="P14">
        <f t="shared" si="2"/>
        <v>2.7972773640903617</v>
      </c>
    </row>
    <row r="18" spans="3:16">
      <c r="C18" s="4" t="s">
        <v>13</v>
      </c>
      <c r="D18" s="4" t="s">
        <v>10</v>
      </c>
      <c r="E18" s="4" t="s">
        <v>9</v>
      </c>
      <c r="F18" s="4" t="s">
        <v>12</v>
      </c>
      <c r="H18" s="4" t="s">
        <v>13</v>
      </c>
      <c r="I18" s="4" t="s">
        <v>10</v>
      </c>
      <c r="J18" s="4" t="s">
        <v>9</v>
      </c>
      <c r="K18" s="4" t="s">
        <v>12</v>
      </c>
      <c r="M18" s="4" t="s">
        <v>13</v>
      </c>
      <c r="N18" s="4" t="s">
        <v>15</v>
      </c>
      <c r="O18" s="4" t="s">
        <v>16</v>
      </c>
      <c r="P18" s="4" t="s">
        <v>14</v>
      </c>
    </row>
    <row r="19" spans="3:16">
      <c r="C19" s="4">
        <v>100</v>
      </c>
      <c r="D19" s="4">
        <v>52.26</v>
      </c>
      <c r="E19" s="4">
        <v>51.93</v>
      </c>
      <c r="F19" s="5">
        <f>((D19-E19)/D19)*100</f>
        <v>0.63145809414465803</v>
      </c>
      <c r="H19" s="4">
        <v>100</v>
      </c>
      <c r="I19" s="4">
        <v>79.7</v>
      </c>
      <c r="J19" s="4">
        <v>84.78</v>
      </c>
      <c r="K19" s="5">
        <f>((I19-J19)/I19)*100</f>
        <v>-6.3739021329987438</v>
      </c>
      <c r="M19" s="4">
        <v>100</v>
      </c>
      <c r="N19" s="4">
        <v>2592</v>
      </c>
      <c r="O19" s="4">
        <v>2592</v>
      </c>
      <c r="P19" s="5">
        <f>((O19-N19)/N19)*100</f>
        <v>0</v>
      </c>
    </row>
    <row r="20" spans="3:16">
      <c r="C20" s="4">
        <v>200</v>
      </c>
      <c r="D20" s="4">
        <v>58.27</v>
      </c>
      <c r="E20" s="4">
        <v>53.56</v>
      </c>
      <c r="F20" s="5">
        <f t="shared" ref="F20:F31" si="3">((D20-E20)/D20)*100</f>
        <v>8.0830616097477268</v>
      </c>
      <c r="H20" s="4">
        <v>200</v>
      </c>
      <c r="I20" s="4">
        <v>106.69</v>
      </c>
      <c r="J20" s="4">
        <v>128.97</v>
      </c>
      <c r="K20" s="5">
        <f t="shared" ref="K20:K29" si="4">((I20-J20)/I20)*100</f>
        <v>-20.882931858655919</v>
      </c>
      <c r="M20" s="4">
        <v>200</v>
      </c>
      <c r="N20" s="4">
        <v>5161</v>
      </c>
      <c r="O20" s="4">
        <v>5061</v>
      </c>
      <c r="P20" s="5">
        <f>((O20-N20)/N20)*100</f>
        <v>-1.9376089905057161</v>
      </c>
    </row>
    <row r="21" spans="3:16">
      <c r="C21" s="4">
        <v>300</v>
      </c>
      <c r="D21" s="4">
        <v>108.25</v>
      </c>
      <c r="E21" s="4">
        <v>67.27</v>
      </c>
      <c r="F21" s="5">
        <f t="shared" si="3"/>
        <v>37.85681293302541</v>
      </c>
      <c r="H21" s="4">
        <v>300</v>
      </c>
      <c r="I21" s="4">
        <v>237.07</v>
      </c>
      <c r="J21" s="4">
        <v>187.99</v>
      </c>
      <c r="K21" s="5">
        <f t="shared" si="4"/>
        <v>20.702746024380978</v>
      </c>
      <c r="M21" s="4">
        <v>300</v>
      </c>
      <c r="N21" s="4">
        <v>6216</v>
      </c>
      <c r="O21" s="4">
        <v>6261</v>
      </c>
      <c r="P21" s="5">
        <f>((O21-N21)/N21)*100</f>
        <v>0.72393822393822393</v>
      </c>
    </row>
    <row r="22" spans="3:16">
      <c r="C22" s="4">
        <v>400</v>
      </c>
      <c r="D22" s="4">
        <v>106</v>
      </c>
      <c r="E22" s="4">
        <v>88.42</v>
      </c>
      <c r="F22" s="5">
        <f t="shared" si="3"/>
        <v>16.584905660377359</v>
      </c>
      <c r="H22" s="4">
        <v>400</v>
      </c>
      <c r="I22" s="4">
        <v>270.94</v>
      </c>
      <c r="J22" s="4">
        <v>268.97000000000003</v>
      </c>
      <c r="K22" s="5">
        <f t="shared" si="4"/>
        <v>0.72709825053516286</v>
      </c>
      <c r="M22" s="4">
        <v>400</v>
      </c>
      <c r="N22" s="4">
        <v>5861</v>
      </c>
      <c r="O22" s="4">
        <v>5388</v>
      </c>
      <c r="P22" s="5">
        <f>((O22-N22)/N22)*100</f>
        <v>-8.0702951714724449</v>
      </c>
    </row>
    <row r="23" spans="3:16">
      <c r="C23" s="4">
        <v>500</v>
      </c>
      <c r="D23" s="4">
        <v>101.69</v>
      </c>
      <c r="E23" s="4">
        <v>71.56</v>
      </c>
      <c r="F23" s="5">
        <f t="shared" si="3"/>
        <v>29.62926541449503</v>
      </c>
      <c r="H23" s="4">
        <v>500</v>
      </c>
      <c r="I23" s="4">
        <v>324.24</v>
      </c>
      <c r="J23" s="4">
        <v>267.18</v>
      </c>
      <c r="K23" s="5">
        <f t="shared" si="4"/>
        <v>17.598075499629903</v>
      </c>
      <c r="M23" s="4">
        <v>500</v>
      </c>
      <c r="N23" s="4">
        <v>6897</v>
      </c>
      <c r="O23" s="4">
        <v>5895</v>
      </c>
      <c r="P23" s="5">
        <f>((O23-N23)/N23)*100</f>
        <v>-14.528055676381035</v>
      </c>
    </row>
    <row r="24" spans="3:16">
      <c r="C24" s="4">
        <v>600</v>
      </c>
      <c r="D24" s="4">
        <v>96.95</v>
      </c>
      <c r="E24" s="4">
        <v>61</v>
      </c>
      <c r="F24" s="5">
        <f t="shared" si="3"/>
        <v>37.080969571944308</v>
      </c>
      <c r="H24" s="4">
        <v>600</v>
      </c>
      <c r="I24" s="4">
        <v>349.14</v>
      </c>
      <c r="J24" s="4">
        <v>242.88</v>
      </c>
      <c r="K24" s="5">
        <f t="shared" si="4"/>
        <v>30.434782608695649</v>
      </c>
      <c r="M24" s="4">
        <v>600</v>
      </c>
      <c r="N24" s="4">
        <v>6314</v>
      </c>
      <c r="O24" s="4">
        <v>6358</v>
      </c>
      <c r="P24" s="5">
        <f>((O24-N24)/N24)*100</f>
        <v>0.69686411149825789</v>
      </c>
    </row>
    <row r="25" spans="3:16">
      <c r="C25" s="4">
        <v>700</v>
      </c>
      <c r="D25" s="4">
        <v>98.12</v>
      </c>
      <c r="E25" s="4">
        <v>64.19</v>
      </c>
      <c r="F25" s="5">
        <f t="shared" si="3"/>
        <v>34.580105992662055</v>
      </c>
      <c r="H25" s="4">
        <v>700</v>
      </c>
      <c r="I25" s="4">
        <v>376.46</v>
      </c>
      <c r="J25" s="4">
        <v>243.2</v>
      </c>
      <c r="K25" s="5">
        <f t="shared" si="4"/>
        <v>35.398183073898956</v>
      </c>
      <c r="M25" s="4">
        <v>700</v>
      </c>
      <c r="N25" s="4">
        <v>5878</v>
      </c>
      <c r="O25" s="4">
        <v>6586</v>
      </c>
      <c r="P25" s="5">
        <f>((O25-N25)/N25)*100</f>
        <v>12.044913235794489</v>
      </c>
    </row>
    <row r="26" spans="3:16">
      <c r="C26" s="4">
        <v>800</v>
      </c>
      <c r="D26" s="4">
        <v>110</v>
      </c>
      <c r="E26" s="4">
        <v>67.81</v>
      </c>
      <c r="F26" s="5">
        <f t="shared" si="3"/>
        <v>38.354545454545452</v>
      </c>
      <c r="H26" s="4">
        <v>800</v>
      </c>
      <c r="I26" s="4">
        <v>365.15</v>
      </c>
      <c r="J26" s="4">
        <v>233.36</v>
      </c>
      <c r="K26" s="5">
        <f t="shared" si="4"/>
        <v>36.09201697932356</v>
      </c>
      <c r="M26" s="4">
        <v>800</v>
      </c>
      <c r="N26" s="4">
        <v>6045</v>
      </c>
      <c r="O26" s="4">
        <v>6656</v>
      </c>
      <c r="P26" s="5">
        <f>((O26-N26)/N26)*100</f>
        <v>10.10752688172043</v>
      </c>
    </row>
    <row r="27" spans="3:16">
      <c r="C27" s="4">
        <v>900</v>
      </c>
      <c r="D27" s="4">
        <v>143.41999999999999</v>
      </c>
      <c r="E27" s="4">
        <v>60.69</v>
      </c>
      <c r="F27" s="5">
        <f t="shared" si="3"/>
        <v>57.683726119090785</v>
      </c>
      <c r="H27" s="4">
        <v>900</v>
      </c>
      <c r="I27" s="4">
        <v>381.94</v>
      </c>
      <c r="J27" s="4">
        <v>245.58</v>
      </c>
      <c r="K27" s="5">
        <f t="shared" si="4"/>
        <v>35.701942713515209</v>
      </c>
      <c r="M27" s="4">
        <v>900</v>
      </c>
      <c r="N27" s="4">
        <v>5503</v>
      </c>
      <c r="O27" s="4">
        <v>6578</v>
      </c>
      <c r="P27" s="5">
        <f>((O27-N27)/N27)*100</f>
        <v>19.534799200436126</v>
      </c>
    </row>
    <row r="28" spans="3:16">
      <c r="C28" s="4">
        <v>1000</v>
      </c>
      <c r="D28" s="4">
        <v>158.25</v>
      </c>
      <c r="E28" s="4">
        <v>68.540000000000006</v>
      </c>
      <c r="F28" s="5">
        <f t="shared" si="3"/>
        <v>56.688783570300153</v>
      </c>
      <c r="H28" s="4">
        <v>1000</v>
      </c>
      <c r="I28" s="4">
        <v>423.87</v>
      </c>
      <c r="J28" s="4">
        <v>245.68</v>
      </c>
      <c r="K28" s="5">
        <f t="shared" si="4"/>
        <v>42.038832660957368</v>
      </c>
      <c r="M28" s="4">
        <v>1000</v>
      </c>
      <c r="N28" s="4">
        <v>5802</v>
      </c>
      <c r="O28" s="4">
        <v>6468</v>
      </c>
      <c r="P28" s="5">
        <f>((O28-N28)/N28)*100</f>
        <v>11.478800413650465</v>
      </c>
    </row>
    <row r="29" spans="3:16">
      <c r="C29" s="4" t="s">
        <v>11</v>
      </c>
      <c r="D29" s="4">
        <f>AVERAGE(D19:D28)</f>
        <v>103.321</v>
      </c>
      <c r="E29" s="4">
        <f>AVERAGE(E19:E28)</f>
        <v>65.497</v>
      </c>
      <c r="F29" s="5">
        <f t="shared" si="3"/>
        <v>36.608240338362961</v>
      </c>
      <c r="H29" s="4" t="s">
        <v>11</v>
      </c>
      <c r="I29" s="4">
        <f>AVERAGE(I19:I28)</f>
        <v>291.52</v>
      </c>
      <c r="J29" s="4">
        <f>AVERAGE(J19:J28)</f>
        <v>214.85899999999998</v>
      </c>
      <c r="K29" s="5">
        <f t="shared" si="4"/>
        <v>26.29699506037322</v>
      </c>
      <c r="M29" s="4" t="s">
        <v>11</v>
      </c>
      <c r="N29" s="4">
        <f>AVERAGE(N19:N28)</f>
        <v>5626.9</v>
      </c>
      <c r="O29" s="4">
        <f>AVERAGE(O19:O28)</f>
        <v>5784.3</v>
      </c>
      <c r="P29" s="5">
        <f>((O29-N29)/N29)*100</f>
        <v>2.7972773640903617</v>
      </c>
    </row>
  </sheetData>
  <mergeCells count="2">
    <mergeCell ref="C2:G2"/>
    <mergeCell ref="J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FinalResults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owner</cp:lastModifiedBy>
  <dcterms:created xsi:type="dcterms:W3CDTF">2024-06-17T00:37:44Z</dcterms:created>
  <dcterms:modified xsi:type="dcterms:W3CDTF">2026-04-17T01:05:25Z</dcterms:modified>
</cp:coreProperties>
</file>